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y Dashboard" sheetId="2" r:id="rId5"/>
    <sheet state="hidden" name="Top 3 cancellation month" sheetId="3" r:id="rId6"/>
    <sheet state="hidden" name="Churn % X month" sheetId="4" r:id="rId7"/>
    <sheet state="hidden" name="Active subs X Month" sheetId="5" r:id="rId8"/>
  </sheets>
  <definedNames>
    <definedName hidden="1" localSheetId="0" name="Z_0CD66DBD_879D_4B7D_A4F2_B250EDBA8DE0_.wvu.FilterData">Data!$A$1:$H$13</definedName>
    <definedName name="SlicerCache_Table_1_Col_1">#N/A</definedName>
  </definedNames>
  <calcPr/>
  <customWorkbookViews>
    <customWorkbookView activeSheetId="0" maximized="1" windowHeight="0" windowWidth="0" guid="{0CD66DBD-879D-4B7D-A4F2-B250EDBA8DE0}" name="Filter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<sst xmlns="http://schemas.openxmlformats.org/spreadsheetml/2006/main" count="113" uniqueCount="66">
  <si>
    <t>Month</t>
  </si>
  <si>
    <t>New_Subscriptions</t>
  </si>
  <si>
    <t>Cancellations</t>
  </si>
  <si>
    <t>Active_Subscribers</t>
  </si>
  <si>
    <t>Churn Rate(%)</t>
  </si>
  <si>
    <t>MRR</t>
  </si>
  <si>
    <t>ARPU</t>
  </si>
  <si>
    <t>Revenue</t>
  </si>
  <si>
    <t>Article ID</t>
  </si>
  <si>
    <t>Article</t>
  </si>
  <si>
    <t>Category</t>
  </si>
  <si>
    <t>Publish Date</t>
  </si>
  <si>
    <t>Views</t>
  </si>
  <si>
    <t>Reads</t>
  </si>
  <si>
    <t>Engagement rate</t>
  </si>
  <si>
    <t>MRR- monthly recurring revenue</t>
  </si>
  <si>
    <t>January</t>
  </si>
  <si>
    <t>Top 10 Health Tips</t>
  </si>
  <si>
    <t>Health</t>
  </si>
  <si>
    <t>2025-01-05</t>
  </si>
  <si>
    <t>ARPU- average revenue per user</t>
  </si>
  <si>
    <t>February</t>
  </si>
  <si>
    <t>Finance Basics for Beginners</t>
  </si>
  <si>
    <t>Finance</t>
  </si>
  <si>
    <t>2025-02-10</t>
  </si>
  <si>
    <t>March</t>
  </si>
  <si>
    <t>Travel Guide: Kerala</t>
  </si>
  <si>
    <t>Travel</t>
  </si>
  <si>
    <t>2025-03-15</t>
  </si>
  <si>
    <t>ARPU=total revenue/number of active users</t>
  </si>
  <si>
    <t>April</t>
  </si>
  <si>
    <t>Startup Growth Hacks</t>
  </si>
  <si>
    <t>Business</t>
  </si>
  <si>
    <t>2025-04-08</t>
  </si>
  <si>
    <t>May</t>
  </si>
  <si>
    <t>AI Trends 2025</t>
  </si>
  <si>
    <t>Technology</t>
  </si>
  <si>
    <t>2025-05-18</t>
  </si>
  <si>
    <t>Churnn rate=(cancellation/active subscriber)*100</t>
  </si>
  <si>
    <t>June</t>
  </si>
  <si>
    <t>Healthy Eating Recipes</t>
  </si>
  <si>
    <t>2025-06-12</t>
  </si>
  <si>
    <t>July</t>
  </si>
  <si>
    <t>Personal Finance Tips</t>
  </si>
  <si>
    <t>2025-07-09</t>
  </si>
  <si>
    <t>engagement rate= (reads/view)*100</t>
  </si>
  <si>
    <t>August</t>
  </si>
  <si>
    <t>Travel Guide: Japan</t>
  </si>
  <si>
    <t>2025-08-14</t>
  </si>
  <si>
    <t>September</t>
  </si>
  <si>
    <t>Entrepreneurship 101</t>
  </si>
  <si>
    <t>2025-09-20</t>
  </si>
  <si>
    <t>October</t>
  </si>
  <si>
    <t>Future of AI</t>
  </si>
  <si>
    <t>2025-10-25</t>
  </si>
  <si>
    <t>November</t>
  </si>
  <si>
    <t>Mindfulness Techniques</t>
  </si>
  <si>
    <t>2025-11-11</t>
  </si>
  <si>
    <t>December</t>
  </si>
  <si>
    <t>Crypto Basics</t>
  </si>
  <si>
    <t>2025-12-18</t>
  </si>
  <si>
    <t>Subscription Analysis</t>
  </si>
  <si>
    <t>SUM of Cancellations</t>
  </si>
  <si>
    <t>Grand Total</t>
  </si>
  <si>
    <t>SUM of Churn Rate(%)</t>
  </si>
  <si>
    <t>SUM of Active_Subscribers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</si>
</sst>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
  </numFmts>
  <fonts count="8">
    <font>
      <sz val="11.0"/>
      <color theme="1"/>
      <name val="Calibri"/>
      <scheme val="minor"/>
    </font>
    <font>
      <b/>
      <color theme="1"/>
      <name val="Calibri"/>
      <scheme val="minor"/>
    </font>
    <font>
      <b/>
      <sz val="11.0"/>
      <color theme="1"/>
      <name val="Calibri"/>
    </font>
    <font>
      <sz val="11.0"/>
      <color theme="1"/>
      <name val="Calibri"/>
    </font>
    <font>
      <color theme="1"/>
      <name val="Calibri"/>
      <scheme val="minor"/>
    </font>
    <font>
      <b/>
      <sz val="14.0"/>
      <color theme="1"/>
      <name val="Calibri"/>
      <scheme val="minor"/>
    </font>
    <font>
      <b/>
      <sz val="17.0"/>
      <color rgb="FFFFFFFF"/>
      <name val="Times New Roman"/>
    </font>
    <font/>
  </fonts>
  <fills count="5">
    <fill>
      <patternFill patternType="none"/>
    </fill>
    <fill>
      <patternFill patternType="lightGray"/>
    </fill>
    <fill>
      <patternFill patternType="solid">
        <fgColor rgb="FFFFFF00"/>
        <bgColor rgb="FFFFFF00"/>
      </patternFill>
    </fill>
    <fill>
      <patternFill patternType="solid">
        <fgColor rgb="FFF17F46"/>
        <bgColor rgb="FFF17F46"/>
      </patternFill>
    </fill>
    <fill>
      <patternFill patternType="solid">
        <fgColor rgb="FFFFFFFF"/>
        <bgColor rgb="FFFFFFFF"/>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2" fontId="1" numFmtId="0" xfId="0" applyFont="1"/>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xf>
    <xf borderId="0" fillId="0" fontId="3" numFmtId="0" xfId="0" applyAlignment="1" applyFont="1">
      <alignment vertical="bottom"/>
    </xf>
    <xf borderId="0" fillId="0" fontId="4" numFmtId="0" xfId="0" applyAlignment="1" applyFont="1">
      <alignment readingOrder="0"/>
    </xf>
    <xf borderId="0" fillId="0" fontId="4" numFmtId="0" xfId="0" applyFont="1"/>
    <xf borderId="0" fillId="0" fontId="4" numFmtId="3" xfId="0" applyFont="1" applyNumberFormat="1"/>
    <xf borderId="0" fillId="0" fontId="4" numFmtId="164" xfId="0" applyFont="1" applyNumberFormat="1"/>
    <xf borderId="0" fillId="0" fontId="4" numFmtId="165" xfId="0" applyFont="1" applyNumberFormat="1"/>
    <xf borderId="0" fillId="0" fontId="3" numFmtId="0" xfId="0" applyAlignment="1" applyFont="1">
      <alignment horizontal="right" vertical="bottom"/>
    </xf>
    <xf borderId="0" fillId="0" fontId="5" numFmtId="0" xfId="0" applyAlignment="1" applyFont="1">
      <alignment readingOrder="0"/>
    </xf>
    <xf borderId="1" fillId="3" fontId="6" numFmtId="0" xfId="0" applyAlignment="1" applyBorder="1" applyFill="1" applyFont="1">
      <alignment horizontal="center" readingOrder="0" vertical="center"/>
    </xf>
    <xf borderId="2" fillId="0" fontId="7" numFmtId="0" xfId="0" applyBorder="1" applyFont="1"/>
    <xf borderId="3" fillId="0" fontId="7" numFmtId="0" xfId="0" applyBorder="1" applyFont="1"/>
    <xf borderId="0" fillId="4" fontId="4" numFmtId="0" xfId="0" applyAlignment="1" applyFill="1" applyFont="1">
      <alignment horizontal="center"/>
    </xf>
    <xf borderId="0" fillId="0" fontId="4" numFmtId="0" xfId="0" applyAlignment="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New vs Cancellation</a:t>
            </a:r>
          </a:p>
        </c:rich>
      </c:tx>
      <c:overlay val="0"/>
    </c:title>
    <c:plotArea>
      <c:layout/>
      <c:areaChart>
        <c:ser>
          <c:idx val="0"/>
          <c:order val="0"/>
          <c:tx>
            <c:strRef>
              <c:f>Data!$B$1</c:f>
            </c:strRef>
          </c:tx>
          <c:spPr>
            <a:solidFill>
              <a:srgbClr val="4F81BD">
                <a:alpha val="30000"/>
              </a:srgbClr>
            </a:solidFill>
            <a:ln cmpd="sng">
              <a:solidFill>
                <a:srgbClr val="4F81BD"/>
              </a:solidFill>
            </a:ln>
          </c:spPr>
          <c:cat>
            <c:strRef>
              <c:f>Data!$A$2:$A$13</c:f>
            </c:strRef>
          </c:cat>
          <c:val>
            <c:numRef>
              <c:f>Data!$B$2:$B$13</c:f>
              <c:numCache/>
            </c:numRef>
          </c:val>
        </c:ser>
        <c:ser>
          <c:idx val="1"/>
          <c:order val="1"/>
          <c:tx>
            <c:strRef>
              <c:f>Data!$C$1</c:f>
            </c:strRef>
          </c:tx>
          <c:spPr>
            <a:solidFill>
              <a:srgbClr val="C0504D">
                <a:alpha val="30000"/>
              </a:srgbClr>
            </a:solidFill>
            <a:ln cmpd="sng">
              <a:solidFill>
                <a:srgbClr val="C0504D"/>
              </a:solidFill>
            </a:ln>
          </c:spPr>
          <c:cat>
            <c:strRef>
              <c:f>Data!$A$2:$A$13</c:f>
            </c:strRef>
          </c:cat>
          <c:val>
            <c:numRef>
              <c:f>Data!$C$2:$C$13</c:f>
              <c:numCache/>
            </c:numRef>
          </c:val>
        </c:ser>
        <c:axId val="797041898"/>
        <c:axId val="306733096"/>
      </c:areaChart>
      <c:catAx>
        <c:axId val="797041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306733096"/>
      </c:catAx>
      <c:valAx>
        <c:axId val="306733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7041898"/>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Subscriber Trend</a:t>
            </a:r>
          </a:p>
        </c:rich>
      </c:tx>
      <c:overlay val="0"/>
    </c:title>
    <c:plotArea>
      <c:layout/>
      <c:lineChart>
        <c:varyColors val="0"/>
        <c:ser>
          <c:idx val="0"/>
          <c:order val="0"/>
          <c:tx>
            <c:strRef>
              <c:f>Data!$D$1</c:f>
            </c:strRef>
          </c:tx>
          <c:spPr>
            <a:ln cmpd="sng">
              <a:solidFill>
                <a:srgbClr val="4F81BD"/>
              </a:solidFill>
            </a:ln>
          </c:spPr>
          <c:marker>
            <c:symbol val="none"/>
          </c:marker>
          <c:trendline>
            <c:name>Trendline for Active_Subscribers</c:name>
            <c:spPr>
              <a:ln w="19050">
                <a:solidFill>
                  <a:srgbClr val="00FF00">
                    <a:alpha val="40000"/>
                  </a:srgbClr>
                </a:solidFill>
              </a:ln>
            </c:spPr>
            <c:trendlineType val="linear"/>
            <c:dispRSqr val="0"/>
            <c:dispEq val="0"/>
          </c:trendline>
          <c:cat>
            <c:strRef>
              <c:f>Data!$A$2:$A$13</c:f>
            </c:strRef>
          </c:cat>
          <c:val>
            <c:numRef>
              <c:f>Data!$D$2:$D$13</c:f>
              <c:numCache/>
            </c:numRef>
          </c:val>
          <c:smooth val="0"/>
        </c:ser>
        <c:axId val="2054578293"/>
        <c:axId val="1922722034"/>
      </c:lineChart>
      <c:catAx>
        <c:axId val="20545782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922722034"/>
      </c:catAx>
      <c:valAx>
        <c:axId val="1922722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Active Subscribers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578293"/>
      </c:valAx>
    </c:plotArea>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Churn Rate</a:t>
            </a:r>
          </a:p>
        </c:rich>
      </c:tx>
      <c:overlay val="0"/>
    </c:title>
    <c:view3D>
      <c:rotX val="15"/>
      <c:rotY val="20"/>
      <c:depthPercent val="100"/>
      <c:rAngAx val="1"/>
    </c:view3D>
    <c:plotArea>
      <c:layout/>
      <c:bar3DChart>
        <c:barDir val="col"/>
        <c:grouping val="clustered"/>
        <c:ser>
          <c:idx val="0"/>
          <c:order val="0"/>
          <c:tx>
            <c:strRef>
              <c:f>Data!$E$1</c:f>
            </c:strRef>
          </c:tx>
          <c:spPr>
            <a:solidFill>
              <a:schemeClr val="accent1"/>
            </a:solidFill>
            <a:ln cmpd="sng">
              <a:solidFill>
                <a:srgbClr val="000000"/>
              </a:solidFill>
            </a:ln>
          </c:spPr>
          <c:cat>
            <c:strRef>
              <c:f>Data!$A$2:$A$13</c:f>
            </c:strRef>
          </c:cat>
          <c:val>
            <c:numRef>
              <c:f>Data!$E$2:$E$13</c:f>
              <c:numCache/>
            </c:numRef>
          </c:val>
        </c:ser>
        <c:axId val="1268515091"/>
        <c:axId val="1415403598"/>
      </c:bar3DChart>
      <c:catAx>
        <c:axId val="1268515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415403598"/>
      </c:catAx>
      <c:valAx>
        <c:axId val="14154035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8515091"/>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3 Cancellation Month</a:t>
            </a:r>
          </a:p>
        </c:rich>
      </c:tx>
      <c:overlay val="0"/>
    </c:title>
    <c:view3D>
      <c:rotX val="50"/>
      <c:perspective val="0"/>
    </c:view3D>
    <c:plotArea>
      <c:layout/>
      <c:doughnutChart>
        <c:varyColors val="1"/>
        <c:ser>
          <c:idx val="0"/>
          <c:order val="0"/>
          <c:tx>
            <c:strRef>
              <c:f>'Top 3 cancellation month'!$B$1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'Top 3 cancellation month'!$A$2:$A$4</c:f>
            </c:strRef>
          </c:cat>
          <c:val>
            <c:numRef>
              <c:f>'Top 3 cancellation month'!$B$2:$B$4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Views vs. Article</a:t>
            </a:r>
          </a:p>
        </c:rich>
      </c:tx>
      <c:overlay val="0"/>
    </c:title>
    <c:view3D>
      <c:rotX val="15"/>
      <c:rotY val="20"/>
      <c:depthPercent val="100"/>
      <c:rAngAx val="1"/>
    </c:view3D>
    <c:plotArea>
      <c:layout/>
      <c:bar3DChart>
        <c:barDir val="col"/>
        <c:grouping val="clustered"/>
        <c:ser>
          <c:idx val="0"/>
          <c:order val="0"/>
          <c:tx>
            <c:strRef>
              <c:f>Data!$M$1</c:f>
            </c:strRef>
          </c:tx>
          <c:spPr>
            <a:solidFill>
              <a:schemeClr val="accent1"/>
            </a:solidFill>
            <a:ln cmpd="sng">
              <a:solidFill>
                <a:srgbClr val="000000"/>
              </a:solidFill>
            </a:ln>
          </c:spPr>
          <c:cat>
            <c:strRef>
              <c:f>Data!$J$2:$J$13</c:f>
            </c:strRef>
          </c:cat>
          <c:val>
            <c:numRef>
              <c:f>Data!$M$2:$M$13</c:f>
              <c:numCache/>
            </c:numRef>
          </c:val>
        </c:ser>
        <c:axId val="780184133"/>
        <c:axId val="1579904139"/>
      </c:bar3DChart>
      <c:catAx>
        <c:axId val="780184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Article</a:t>
                </a:r>
              </a:p>
            </c:rich>
          </c:tx>
          <c:overlay val="0"/>
        </c:title>
        <c:numFmt formatCode="General" sourceLinked="1"/>
        <c:majorTickMark val="none"/>
        <c:minorTickMark val="none"/>
        <c:spPr/>
        <c:txPr>
          <a:bodyPr/>
          <a:lstStyle/>
          <a:p>
            <a:pPr lvl="0">
              <a:defRPr b="0">
                <a:solidFill>
                  <a:srgbClr val="000000"/>
                </a:solidFill>
                <a:latin typeface="+mn-lt"/>
              </a:defRPr>
            </a:pPr>
          </a:p>
        </c:txPr>
        <c:crossAx val="1579904139"/>
      </c:catAx>
      <c:valAx>
        <c:axId val="15799041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0184133"/>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Engagement Rate</a:t>
            </a:r>
          </a:p>
        </c:rich>
      </c:tx>
      <c:overlay val="0"/>
    </c:title>
    <c:plotArea>
      <c:layout/>
      <c:lineChart>
        <c:varyColors val="0"/>
        <c:ser>
          <c:idx val="0"/>
          <c:order val="0"/>
          <c:tx>
            <c:strRef>
              <c:f>Data!$O$1</c:f>
            </c:strRef>
          </c:tx>
          <c:spPr>
            <a:ln cmpd="sng">
              <a:solidFill>
                <a:srgbClr val="4F81BD"/>
              </a:solidFill>
            </a:ln>
          </c:spPr>
          <c:marker>
            <c:symbol val="none"/>
          </c:marker>
          <c:cat>
            <c:strRef>
              <c:f>Data!$A$2:$A$13</c:f>
            </c:strRef>
          </c:cat>
          <c:val>
            <c:numRef>
              <c:f>Data!$O$2:$O$13</c:f>
              <c:numCache/>
            </c:numRef>
          </c:val>
          <c:smooth val="0"/>
        </c:ser>
        <c:axId val="999100408"/>
        <c:axId val="1328909774"/>
      </c:lineChart>
      <c:catAx>
        <c:axId val="999100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328909774"/>
      </c:catAx>
      <c:valAx>
        <c:axId val="1328909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Engagement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9100408"/>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Cancellations vs. Month</a:t>
            </a:r>
          </a:p>
        </c:rich>
      </c:tx>
      <c:overlay val="0"/>
    </c:title>
    <c:plotArea>
      <c:layout/>
      <c:doughnutChart>
        <c:varyColors val="1"/>
        <c:ser>
          <c:idx val="0"/>
          <c:order val="0"/>
          <c:tx>
            <c:strRef>
              <c:f>'Top 3 cancellation month'!$B$1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'Top 3 cancellation month'!$A$2:$A$4</c:f>
            </c:strRef>
          </c:cat>
          <c:val>
            <c:numRef>
              <c:f>'Top 3 cancellation month'!$B$2:$B$4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Subscriber Monthwiese</a:t>
            </a:r>
          </a:p>
        </c:rich>
      </c:tx>
      <c:overlay val="0"/>
    </c:title>
    <c:plotArea>
      <c:layout/>
      <c:lineChart>
        <c:varyColors val="0"/>
        <c:ser>
          <c:idx val="0"/>
          <c:order val="0"/>
          <c:tx>
            <c:strRef>
              <c:f>'Active subs X Month'!$B$1</c:f>
            </c:strRef>
          </c:tx>
          <c:spPr>
            <a:ln cmpd="sng">
              <a:solidFill>
                <a:srgbClr val="4F81BD"/>
              </a:solidFill>
            </a:ln>
          </c:spPr>
          <c:marker>
            <c:symbol val="none"/>
          </c:marker>
          <c:cat>
            <c:strRef>
              <c:f>'Active subs X Month'!$A$2:$A$14</c:f>
            </c:strRef>
          </c:cat>
          <c:val>
            <c:numRef>
              <c:f>'Active subs X Month'!$B$2:$B$14</c:f>
              <c:numCache/>
            </c:numRef>
          </c:val>
          <c:smooth val="0"/>
        </c:ser>
        <c:axId val="1355545105"/>
        <c:axId val="873771894"/>
      </c:lineChart>
      <c:catAx>
        <c:axId val="1355545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873771894"/>
      </c:catAx>
      <c:valAx>
        <c:axId val="873771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Active_Subscribers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554510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5.png"/><Relationship Id="rId10" Type="http://schemas.openxmlformats.org/officeDocument/2006/relationships/image" Target="../media/Chart11.png"/><Relationship Id="rId9" Type="http://schemas.openxmlformats.org/officeDocument/2006/relationships/chart" Target="../charts/chart6.xml"/><Relationship Id="rId5" Type="http://schemas.openxmlformats.org/officeDocument/2006/relationships/image" Target="../media/Chart6.png"/><Relationship Id="rId6" Type="http://schemas.openxmlformats.org/officeDocument/2006/relationships/image" Target="../media/Chart7.png"/><Relationship Id="rId7" Type="http://schemas.openxmlformats.org/officeDocument/2006/relationships/chart" Target="../charts/chart4.xml"/><Relationship Id="rId8"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Chart1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38100</xdr:rowOff>
    </xdr:from>
    <xdr:ext cx="2847975" cy="1762125"/>
    <xdr:pic>
      <xdr:nvPicPr>
        <xdr:cNvPr id="31691611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914400</xdr:colOff>
      <xdr:row>6</xdr:row>
      <xdr:rowOff>0</xdr:rowOff>
    </xdr:from>
    <xdr:ext cx="3581400" cy="18097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952500</xdr:colOff>
      <xdr:row>16</xdr:row>
      <xdr:rowOff>161925</xdr:rowOff>
    </xdr:from>
    <xdr:ext cx="3467100" cy="21050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523875</xdr:colOff>
      <xdr:row>16</xdr:row>
      <xdr:rowOff>180975</xdr:rowOff>
    </xdr:from>
    <xdr:ext cx="3467100" cy="21050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533400</xdr:colOff>
      <xdr:row>2</xdr:row>
      <xdr:rowOff>0</xdr:rowOff>
    </xdr:from>
    <xdr:ext cx="1285875" cy="504825"/>
    <xdr:pic>
      <xdr:nvPicPr>
        <xdr:cNvPr id="1248147425" name="Chart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276225</xdr:colOff>
      <xdr:row>2</xdr:row>
      <xdr:rowOff>0</xdr:rowOff>
    </xdr:from>
    <xdr:ext cx="1638300" cy="504825"/>
    <xdr:pic>
      <xdr:nvPicPr>
        <xdr:cNvPr id="708091023" name="Chart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762000</xdr:colOff>
      <xdr:row>2</xdr:row>
      <xdr:rowOff>0</xdr:rowOff>
    </xdr:from>
    <xdr:ext cx="1504950" cy="504825"/>
    <xdr:pic>
      <xdr:nvPicPr>
        <xdr:cNvPr id="783455129" name="Chart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914400</xdr:colOff>
      <xdr:row>16</xdr:row>
      <xdr:rowOff>104775</xdr:rowOff>
    </xdr:from>
    <xdr:ext cx="3581400" cy="21621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952500</xdr:colOff>
      <xdr:row>6</xdr:row>
      <xdr:rowOff>0</xdr:rowOff>
    </xdr:from>
    <xdr:ext cx="3409950" cy="1809750"/>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523875</xdr:colOff>
      <xdr:row>5</xdr:row>
      <xdr:rowOff>180975</xdr:rowOff>
    </xdr:from>
    <xdr:ext cx="3409950" cy="1847850"/>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123825</xdr:colOff>
      <xdr:row>2</xdr:row>
      <xdr:rowOff>0</xdr:rowOff>
    </xdr:from>
    <xdr:ext cx="1200150" cy="504825"/>
    <xdr:pic>
      <xdr:nvPicPr>
        <xdr:cNvPr id="1743731634" name="Chart11"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xdr:row>
      <xdr:rowOff>190500</xdr:rowOff>
    </xdr:from>
    <xdr:ext cx="2857500" cy="2857500"/>
    <mc:AlternateContent>
      <mc:Choice Requires="sle15">
        <xdr:graphicFrame>
          <xdr:nvGraphicFramePr>
            <xdr:cNvPr id="1" name="Month_1"/>
            <xdr:cNvGraphicFramePr/>
          </xdr:nvGraphicFramePr>
          <xdr:xfrm>
            <a:off x="0" y="0"/>
            <a:ext cx="0" cy="0"/>
          </xdr:xfrm>
          <a:graphic>
            <a:graphicData uri="http://schemas.microsoft.com/office/drawing/2010/slicer">
              <x3Unk:slicer name="Month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104775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447675</xdr:colOff>
      <xdr:row>0</xdr:row>
      <xdr:rowOff>0</xdr:rowOff>
    </xdr:from>
    <xdr:ext cx="4476750" cy="2771775"/>
    <xdr:pic>
      <xdr:nvPicPr>
        <xdr:cNvPr id="1184491267" name="Chart1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400050</xdr:colOff>
      <xdr:row>2</xdr:row>
      <xdr:rowOff>0</xdr:rowOff>
    </xdr:from>
    <xdr:ext cx="3924300" cy="20669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3" sheet="Data"/>
  </cacheSource>
  <cacheFields>
    <cacheField name="Month" numFmtId="0">
      <sharedItems>
        <s v="January"/>
        <s v="February"/>
        <s v="March"/>
        <s v="April"/>
        <s v="May"/>
        <s v="June"/>
        <s v="July"/>
        <s v="August"/>
        <s v="September"/>
        <s v="October"/>
        <s v="November"/>
        <s v="December"/>
      </sharedItems>
    </cacheField>
    <cacheField name="New_Subscriptions" numFmtId="0">
      <sharedItems containsSemiMixedTypes="0" containsString="0" containsNumber="1" containsInteger="1">
        <n v="120.0"/>
        <n v="150.0"/>
        <n v="140.0"/>
        <n v="160.0"/>
        <n v="170.0"/>
        <n v="155.0"/>
        <n v="165.0"/>
        <n v="180.0"/>
        <n v="175.0"/>
        <n v="190.0"/>
        <n v="200.0"/>
        <n v="210.0"/>
      </sharedItems>
    </cacheField>
    <cacheField name="Cancellations" numFmtId="3">
      <sharedItems containsSemiMixedTypes="0" containsString="0" containsNumber="1" containsInteger="1">
        <n v="30.0"/>
        <n v="40.0"/>
        <n v="35.0"/>
        <n v="45.0"/>
        <n v="50.0"/>
        <n v="38.0"/>
        <n v="42.0"/>
        <n v="55.0"/>
        <n v="48.0"/>
        <n v="52.0"/>
        <n v="60.0"/>
        <n v="65.0"/>
      </sharedItems>
    </cacheField>
    <cacheField name="Active_Subscribers" numFmtId="3">
      <sharedItems containsSemiMixedTypes="0" containsString="0" containsNumber="1" containsInteger="1">
        <n v="900.0"/>
        <n v="1010.0"/>
        <n v="1115.0"/>
        <n v="1230.0"/>
        <n v="1350.0"/>
        <n v="1467.0"/>
        <n v="1590.0"/>
        <n v="1715.0"/>
        <n v="1842.0"/>
        <n v="1980.0"/>
        <n v="2120.0"/>
        <n v="2265.0"/>
      </sharedItems>
    </cacheField>
    <cacheField name="Churn Rate(%)" numFmtId="164">
      <sharedItems containsSemiMixedTypes="0" containsString="0" containsNumber="1">
        <n v="3.3333333333333335"/>
        <n v="3.9603960396039604"/>
        <n v="3.1390134529147984"/>
        <n v="3.6585365853658534"/>
        <n v="3.7037037037037033"/>
        <n v="2.590320381731425"/>
        <n v="2.6415094339622645"/>
        <n v="3.206997084548105"/>
        <n v="2.6058631921824107"/>
        <n v="2.6262626262626263"/>
        <n v="2.8301886792452833"/>
        <n v="2.869757174392936"/>
      </sharedItems>
    </cacheField>
    <cacheField name="MRR" numFmtId="0">
      <sharedItems containsSemiMixedTypes="0" containsString="0" containsNumber="1" containsInteger="1">
        <n v="45000.0"/>
        <n v="50500.0"/>
        <n v="55750.0"/>
        <n v="61500.0"/>
        <n v="67500.0"/>
        <n v="73350.0"/>
        <n v="79500.0"/>
        <n v="85750.0"/>
        <n v="92100.0"/>
        <n v="99000.0"/>
        <n v="106000.0"/>
        <n v="113250.0"/>
      </sharedItems>
    </cacheField>
    <cacheField name="ARPU" numFmtId="165">
      <sharedItems containsSemiMixedTypes="0" containsString="0" containsNumber="1" containsInteger="1">
        <n v="50.0"/>
      </sharedItems>
    </cacheField>
    <cacheField name="Revenue" numFmtId="0">
      <sharedItems containsSemiMixedTypes="0" containsString="0" containsNumber="1" containsInteger="1">
        <n v="45000.0"/>
        <n v="50500.0"/>
        <n v="55750.0"/>
        <n v="61500.0"/>
        <n v="67500.0"/>
        <n v="73350.0"/>
        <n v="79500.0"/>
        <n v="85750.0"/>
        <n v="92100.0"/>
        <n v="99000.0"/>
        <n v="106000.0"/>
        <n v="1132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p 3 cancellation month" cacheId="0" dataCaption="" compact="0" compactData="0">
  <location ref="A1:B14" firstHeaderRow="0" firstDataRow="1" firstDataCol="0"/>
  <pivotFields>
    <pivotField name="Month"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New_Subscriptions" compact="0" outline="0" multipleItemSelectionAllowed="1" showAll="0">
      <items>
        <item x="0"/>
        <item x="1"/>
        <item x="2"/>
        <item x="3"/>
        <item x="4"/>
        <item x="5"/>
        <item x="6"/>
        <item x="7"/>
        <item x="8"/>
        <item x="9"/>
        <item x="10"/>
        <item x="11"/>
        <item t="default"/>
      </items>
    </pivotField>
    <pivotField name="Cancellations" dataField="1" compact="0" numFmtId="3" outline="0" multipleItemSelectionAllowed="1" showAll="0">
      <items>
        <item x="0"/>
        <item x="1"/>
        <item x="2"/>
        <item x="3"/>
        <item x="4"/>
        <item x="5"/>
        <item x="6"/>
        <item x="7"/>
        <item x="8"/>
        <item x="9"/>
        <item x="10"/>
        <item x="11"/>
        <item t="default"/>
      </items>
    </pivotField>
    <pivotField name="Active_Subscribers" compact="0" numFmtId="3" outline="0" multipleItemSelectionAllowed="1" showAll="0">
      <items>
        <item x="0"/>
        <item x="1"/>
        <item x="2"/>
        <item x="3"/>
        <item x="4"/>
        <item x="5"/>
        <item x="6"/>
        <item x="7"/>
        <item x="8"/>
        <item x="9"/>
        <item x="10"/>
        <item x="11"/>
        <item t="default"/>
      </items>
    </pivotField>
    <pivotField name="Churn Rate(%)" compact="0" numFmtId="164" outline="0" multipleItemSelectionAllowed="1" showAll="0">
      <items>
        <item x="0"/>
        <item x="1"/>
        <item x="2"/>
        <item x="3"/>
        <item x="4"/>
        <item x="5"/>
        <item x="6"/>
        <item x="7"/>
        <item x="8"/>
        <item x="9"/>
        <item x="10"/>
        <item x="11"/>
        <item t="default"/>
      </items>
    </pivotField>
    <pivotField name="MRR" compact="0" outline="0" multipleItemSelectionAllowed="1" showAll="0">
      <items>
        <item x="0"/>
        <item x="1"/>
        <item x="2"/>
        <item x="3"/>
        <item x="4"/>
        <item x="5"/>
        <item x="6"/>
        <item x="7"/>
        <item x="8"/>
        <item x="9"/>
        <item x="10"/>
        <item x="11"/>
        <item t="default"/>
      </items>
    </pivotField>
    <pivotField name="ARPU" compact="0" numFmtId="165" outline="0" multipleItemSelectionAllowed="1" showAll="0">
      <items>
        <item x="0"/>
        <item t="default"/>
      </items>
    </pivotField>
    <pivotField name="Revenue" compact="0" outline="0" multipleItemSelectionAllowed="1" showAll="0">
      <items>
        <item x="0"/>
        <item x="1"/>
        <item x="2"/>
        <item x="3"/>
        <item x="4"/>
        <item x="5"/>
        <item x="6"/>
        <item x="7"/>
        <item x="8"/>
        <item x="9"/>
        <item x="10"/>
        <item x="11"/>
        <item t="default"/>
      </items>
    </pivotField>
  </pivotFields>
  <rowFields>
    <field x="0"/>
  </rowFields>
  <dataFields>
    <dataField name="SUM of Cancellations" fld="2" baseField="0"/>
  </dataFields>
</pivotTableDefinition>
</file>

<file path=xl/pivotTables/pivotTable2.xml><?xml version="1.0" encoding="utf-8"?>
<pivotTableDefinition xmlns="http://schemas.openxmlformats.org/spreadsheetml/2006/main" name="Churn % X month" cacheId="0" dataCaption="" rowGrandTotals="0" compact="0" compactData="0">
  <location ref="A1:B13" firstHeaderRow="0" firstDataRow="1" firstDataCol="0"/>
  <pivotFields>
    <pivotField name="Month"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New_Subscriptions" compact="0" outline="0" multipleItemSelectionAllowed="1" showAll="0">
      <items>
        <item x="0"/>
        <item x="1"/>
        <item x="2"/>
        <item x="3"/>
        <item x="4"/>
        <item x="5"/>
        <item x="6"/>
        <item x="7"/>
        <item x="8"/>
        <item x="9"/>
        <item x="10"/>
        <item x="11"/>
        <item t="default"/>
      </items>
    </pivotField>
    <pivotField name="Cancellations" compact="0" numFmtId="3" outline="0" multipleItemSelectionAllowed="1" showAll="0">
      <items>
        <item x="0"/>
        <item x="1"/>
        <item x="2"/>
        <item x="3"/>
        <item x="4"/>
        <item x="5"/>
        <item x="6"/>
        <item x="7"/>
        <item x="8"/>
        <item x="9"/>
        <item x="10"/>
        <item x="11"/>
        <item t="default"/>
      </items>
    </pivotField>
    <pivotField name="Active_Subscribers" compact="0" numFmtId="3" outline="0" multipleItemSelectionAllowed="1" showAll="0">
      <items>
        <item x="0"/>
        <item x="1"/>
        <item x="2"/>
        <item x="3"/>
        <item x="4"/>
        <item x="5"/>
        <item x="6"/>
        <item x="7"/>
        <item x="8"/>
        <item x="9"/>
        <item x="10"/>
        <item x="11"/>
        <item t="default"/>
      </items>
    </pivotField>
    <pivotField name="Churn Rate(%)" dataField="1" compact="0" numFmtId="164" outline="0" multipleItemSelectionAllowed="1" showAll="0">
      <items>
        <item x="0"/>
        <item x="1"/>
        <item x="2"/>
        <item x="3"/>
        <item x="4"/>
        <item x="5"/>
        <item x="6"/>
        <item x="7"/>
        <item x="8"/>
        <item x="9"/>
        <item x="10"/>
        <item x="11"/>
        <item t="default"/>
      </items>
    </pivotField>
    <pivotField name="MRR" compact="0" outline="0" multipleItemSelectionAllowed="1" showAll="0">
      <items>
        <item x="0"/>
        <item x="1"/>
        <item x="2"/>
        <item x="3"/>
        <item x="4"/>
        <item x="5"/>
        <item x="6"/>
        <item x="7"/>
        <item x="8"/>
        <item x="9"/>
        <item x="10"/>
        <item x="11"/>
        <item t="default"/>
      </items>
    </pivotField>
    <pivotField name="ARPU" compact="0" numFmtId="165" outline="0" multipleItemSelectionAllowed="1" showAll="0">
      <items>
        <item x="0"/>
        <item t="default"/>
      </items>
    </pivotField>
    <pivotField name="Revenue" compact="0" outline="0" multipleItemSelectionAllowed="1" showAll="0">
      <items>
        <item x="0"/>
        <item x="1"/>
        <item x="2"/>
        <item x="3"/>
        <item x="4"/>
        <item x="5"/>
        <item x="6"/>
        <item x="7"/>
        <item x="8"/>
        <item x="9"/>
        <item x="10"/>
        <item x="11"/>
        <item t="default"/>
      </items>
    </pivotField>
  </pivotFields>
  <rowFields>
    <field x="0"/>
  </rowFields>
  <dataFields>
    <dataField name="SUM of Churn Rate(%)" fld="4" baseField="0"/>
  </dataFields>
</pivotTableDefinition>
</file>

<file path=xl/pivotTables/pivotTable3.xml><?xml version="1.0" encoding="utf-8"?>
<pivotTableDefinition xmlns="http://schemas.openxmlformats.org/spreadsheetml/2006/main" name="Active subs X Month" cacheId="0" dataCaption="" compact="0" compactData="0">
  <location ref="A1:B14" firstHeaderRow="0" firstDataRow="1" firstDataCol="0"/>
  <pivotFields>
    <pivotField name="Month" axis="axisRow" compact="0" outline="0" multipleItemSelectionAllowed="1" showAll="0" sortType="ascending">
      <items>
        <item x="3"/>
        <item x="7"/>
        <item x="11"/>
        <item x="1"/>
        <item x="0"/>
        <item x="6"/>
        <item x="5"/>
        <item x="2"/>
        <item x="4"/>
        <item x="10"/>
        <item x="9"/>
        <item x="8"/>
        <item t="default"/>
      </items>
    </pivotField>
    <pivotField name="New_Subscriptions" compact="0" outline="0" multipleItemSelectionAllowed="1" showAll="0">
      <items>
        <item x="0"/>
        <item x="1"/>
        <item x="2"/>
        <item x="3"/>
        <item x="4"/>
        <item x="5"/>
        <item x="6"/>
        <item x="7"/>
        <item x="8"/>
        <item x="9"/>
        <item x="10"/>
        <item x="11"/>
        <item t="default"/>
      </items>
    </pivotField>
    <pivotField name="Cancellations" compact="0" numFmtId="3" outline="0" multipleItemSelectionAllowed="1" showAll="0">
      <items>
        <item x="0"/>
        <item x="1"/>
        <item x="2"/>
        <item x="3"/>
        <item x="4"/>
        <item x="5"/>
        <item x="6"/>
        <item x="7"/>
        <item x="8"/>
        <item x="9"/>
        <item x="10"/>
        <item x="11"/>
        <item t="default"/>
      </items>
    </pivotField>
    <pivotField name="Active_Subscribers" dataField="1" compact="0" numFmtId="3" outline="0" multipleItemSelectionAllowed="1" showAll="0">
      <items>
        <item x="0"/>
        <item x="1"/>
        <item x="2"/>
        <item x="3"/>
        <item x="4"/>
        <item x="5"/>
        <item x="6"/>
        <item x="7"/>
        <item x="8"/>
        <item x="9"/>
        <item x="10"/>
        <item x="11"/>
        <item t="default"/>
      </items>
    </pivotField>
    <pivotField name="Churn Rate(%)" compact="0" numFmtId="164" outline="0" multipleItemSelectionAllowed="1" showAll="0">
      <items>
        <item x="0"/>
        <item x="1"/>
        <item x="2"/>
        <item x="3"/>
        <item x="4"/>
        <item x="5"/>
        <item x="6"/>
        <item x="7"/>
        <item x="8"/>
        <item x="9"/>
        <item x="10"/>
        <item x="11"/>
        <item t="default"/>
      </items>
    </pivotField>
    <pivotField name="MRR" compact="0" outline="0" multipleItemSelectionAllowed="1" showAll="0">
      <items>
        <item x="0"/>
        <item x="1"/>
        <item x="2"/>
        <item x="3"/>
        <item x="4"/>
        <item x="5"/>
        <item x="6"/>
        <item x="7"/>
        <item x="8"/>
        <item x="9"/>
        <item x="10"/>
        <item x="11"/>
        <item t="default"/>
      </items>
    </pivotField>
    <pivotField name="ARPU" compact="0" numFmtId="165" outline="0" multipleItemSelectionAllowed="1" showAll="0">
      <items>
        <item x="0"/>
        <item t="default"/>
      </items>
    </pivotField>
    <pivotField name="Revenue" compact="0" outline="0" multipleItemSelectionAllowed="1" showAll="0">
      <items>
        <item x="0"/>
        <item x="1"/>
        <item x="2"/>
        <item x="3"/>
        <item x="4"/>
        <item x="5"/>
        <item x="6"/>
        <item x="7"/>
        <item x="8"/>
        <item x="9"/>
        <item x="10"/>
        <item x="11"/>
        <item t="default"/>
      </items>
    </pivotField>
  </pivotFields>
  <rowFields>
    <field x="0"/>
  </rowFields>
  <dataFields>
    <dataField name="SUM of Active_Subscriber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Month">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nth_1" cache="SlicerCache_Table_1_Col_1" caption="Month" rowHeight="247650"/>
</x14:slicers>
</file>

<file path=xl/tables/table1.xml><?xml version="1.0" encoding="utf-8"?>
<table xmlns="http://schemas.openxmlformats.org/spreadsheetml/2006/main" ref="A1:H13" displayName="Table_1" name="Table_1" id="1">
  <autoFilter ref="$A$1:$H$13"/>
  <tableColumns count="8">
    <tableColumn name="Month" id="1"/>
    <tableColumn name="New_Subscriptions" id="2"/>
    <tableColumn name="Cancellations" id="3"/>
    <tableColumn name="Active_Subscribers" id="4"/>
    <tableColumn name="Churn Rate(%)" id="5"/>
    <tableColumn name="MRR" id="6"/>
    <tableColumn name="ARPU" id="7"/>
    <tableColumn name="Revenue"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7.43"/>
    <col customWidth="1" min="3" max="3" width="12.43"/>
    <col customWidth="1" min="4" max="5" width="17.14"/>
    <col customWidth="1" min="6" max="6" width="7.57"/>
    <col customWidth="1" min="7" max="7" width="8.71"/>
    <col customWidth="1" min="8" max="8" width="8.43"/>
    <col customWidth="1" min="9" max="9" width="8.71"/>
    <col customWidth="1" min="10" max="10" width="14.0"/>
    <col customWidth="1" min="11" max="11" width="13.0"/>
    <col customWidth="1" min="12" max="12" width="14.29"/>
    <col customWidth="1" min="13" max="14" width="8.71"/>
    <col customWidth="1" min="15" max="15" width="17.14"/>
    <col customWidth="1" min="16" max="16" width="34.29"/>
    <col customWidth="1" min="17" max="20" width="8.71"/>
    <col customWidth="1" min="21" max="21" width="15.14"/>
    <col customWidth="1" min="22" max="24" width="8.71"/>
    <col customWidth="1" min="25" max="25" width="16.14"/>
    <col customWidth="1" min="26" max="32" width="8.71"/>
  </cols>
  <sheetData>
    <row r="1">
      <c r="A1" s="1" t="s">
        <v>0</v>
      </c>
      <c r="B1" s="1" t="s">
        <v>1</v>
      </c>
      <c r="C1" s="1" t="s">
        <v>2</v>
      </c>
      <c r="D1" s="1" t="s">
        <v>3</v>
      </c>
      <c r="E1" s="2" t="s">
        <v>4</v>
      </c>
      <c r="F1" s="1" t="s">
        <v>5</v>
      </c>
      <c r="G1" s="3" t="s">
        <v>6</v>
      </c>
      <c r="H1" s="1" t="s">
        <v>7</v>
      </c>
      <c r="I1" s="4" t="s">
        <v>8</v>
      </c>
      <c r="J1" s="5" t="s">
        <v>9</v>
      </c>
      <c r="K1" s="4" t="s">
        <v>10</v>
      </c>
      <c r="L1" s="4" t="s">
        <v>11</v>
      </c>
      <c r="M1" s="4" t="s">
        <v>12</v>
      </c>
      <c r="N1" s="4" t="s">
        <v>13</v>
      </c>
      <c r="O1" s="6" t="s">
        <v>14</v>
      </c>
      <c r="Q1" s="6" t="s">
        <v>15</v>
      </c>
      <c r="S1" s="7"/>
      <c r="T1" s="7"/>
      <c r="U1" s="7"/>
      <c r="V1" s="7"/>
      <c r="W1" s="7"/>
      <c r="X1" s="7"/>
      <c r="Y1" s="7"/>
      <c r="Z1" s="7"/>
      <c r="AA1" s="7"/>
    </row>
    <row r="2">
      <c r="A2" s="8" t="s">
        <v>16</v>
      </c>
      <c r="B2" s="9">
        <v>120.0</v>
      </c>
      <c r="C2" s="10">
        <v>30.0</v>
      </c>
      <c r="D2" s="10">
        <v>900.0</v>
      </c>
      <c r="E2" s="11">
        <f>C2/D2*100</f>
        <v>3.333333333</v>
      </c>
      <c r="F2" s="9">
        <v>45000.0</v>
      </c>
      <c r="G2" s="12">
        <f t="shared" ref="G2:G13" si="1">F2/D2</f>
        <v>50</v>
      </c>
      <c r="H2" s="9">
        <v>45000.0</v>
      </c>
      <c r="I2" s="13">
        <v>101.0</v>
      </c>
      <c r="J2" s="7" t="s">
        <v>17</v>
      </c>
      <c r="K2" s="7" t="s">
        <v>18</v>
      </c>
      <c r="L2" s="7" t="s">
        <v>19</v>
      </c>
      <c r="M2" s="13">
        <v>12000.0</v>
      </c>
      <c r="N2" s="13">
        <v>8500.0</v>
      </c>
      <c r="O2" s="11">
        <f t="shared" ref="O2:O13" si="2">(N2/M2)*100</f>
        <v>70.83333333</v>
      </c>
      <c r="Q2" s="6" t="s">
        <v>20</v>
      </c>
      <c r="S2" s="13"/>
      <c r="T2" s="7"/>
      <c r="U2" s="7"/>
      <c r="V2" s="7"/>
      <c r="W2" s="13"/>
      <c r="X2" s="13"/>
      <c r="Y2" s="13"/>
      <c r="Z2" s="13"/>
      <c r="AA2" s="7"/>
    </row>
    <row r="3">
      <c r="A3" s="8" t="s">
        <v>21</v>
      </c>
      <c r="B3" s="9">
        <v>150.0</v>
      </c>
      <c r="C3" s="10">
        <v>40.0</v>
      </c>
      <c r="D3" s="10">
        <v>1010.0</v>
      </c>
      <c r="E3" s="11">
        <f t="shared" ref="E3:E13" si="3">(C3/D3)*100</f>
        <v>3.96039604</v>
      </c>
      <c r="F3" s="9">
        <v>50500.0</v>
      </c>
      <c r="G3" s="12">
        <f t="shared" si="1"/>
        <v>50</v>
      </c>
      <c r="H3" s="9">
        <v>50500.0</v>
      </c>
      <c r="I3" s="13">
        <v>102.0</v>
      </c>
      <c r="J3" s="7" t="s">
        <v>22</v>
      </c>
      <c r="K3" s="7" t="s">
        <v>23</v>
      </c>
      <c r="L3" s="7" t="s">
        <v>24</v>
      </c>
      <c r="M3" s="13">
        <v>15000.0</v>
      </c>
      <c r="N3" s="13">
        <v>9200.0</v>
      </c>
      <c r="O3" s="11">
        <f t="shared" si="2"/>
        <v>61.33333333</v>
      </c>
      <c r="S3" s="13"/>
      <c r="T3" s="7"/>
      <c r="U3" s="7"/>
      <c r="V3" s="7"/>
      <c r="W3" s="13"/>
      <c r="X3" s="13"/>
      <c r="Y3" s="13"/>
      <c r="Z3" s="13"/>
      <c r="AA3" s="7"/>
    </row>
    <row r="4">
      <c r="A4" s="8" t="s">
        <v>25</v>
      </c>
      <c r="B4" s="9">
        <v>140.0</v>
      </c>
      <c r="C4" s="10">
        <v>35.0</v>
      </c>
      <c r="D4" s="10">
        <v>1115.0</v>
      </c>
      <c r="E4" s="11">
        <f t="shared" si="3"/>
        <v>3.139013453</v>
      </c>
      <c r="F4" s="9">
        <v>55750.0</v>
      </c>
      <c r="G4" s="12">
        <f t="shared" si="1"/>
        <v>50</v>
      </c>
      <c r="H4" s="9">
        <v>55750.0</v>
      </c>
      <c r="I4" s="13">
        <v>103.0</v>
      </c>
      <c r="J4" s="7" t="s">
        <v>26</v>
      </c>
      <c r="K4" s="7" t="s">
        <v>27</v>
      </c>
      <c r="L4" s="7" t="s">
        <v>28</v>
      </c>
      <c r="M4" s="13">
        <v>9000.0</v>
      </c>
      <c r="N4" s="13">
        <v>6000.0</v>
      </c>
      <c r="O4" s="11">
        <f t="shared" si="2"/>
        <v>66.66666667</v>
      </c>
      <c r="Q4" s="14" t="s">
        <v>29</v>
      </c>
      <c r="S4" s="13"/>
      <c r="T4" s="7"/>
      <c r="U4" s="7"/>
      <c r="V4" s="7"/>
      <c r="W4" s="13"/>
      <c r="X4" s="13"/>
      <c r="Y4" s="13"/>
      <c r="Z4" s="13"/>
      <c r="AA4" s="7"/>
    </row>
    <row r="5">
      <c r="A5" s="8" t="s">
        <v>30</v>
      </c>
      <c r="B5" s="9">
        <v>160.0</v>
      </c>
      <c r="C5" s="10">
        <v>45.0</v>
      </c>
      <c r="D5" s="10">
        <v>1230.0</v>
      </c>
      <c r="E5" s="11">
        <f t="shared" si="3"/>
        <v>3.658536585</v>
      </c>
      <c r="F5" s="9">
        <v>61500.0</v>
      </c>
      <c r="G5" s="12">
        <f t="shared" si="1"/>
        <v>50</v>
      </c>
      <c r="H5" s="9">
        <v>61500.0</v>
      </c>
      <c r="I5" s="13">
        <v>104.0</v>
      </c>
      <c r="J5" s="7" t="s">
        <v>31</v>
      </c>
      <c r="K5" s="7" t="s">
        <v>32</v>
      </c>
      <c r="L5" s="7" t="s">
        <v>33</v>
      </c>
      <c r="M5" s="13">
        <v>18000.0</v>
      </c>
      <c r="N5" s="13">
        <v>11000.0</v>
      </c>
      <c r="O5" s="11">
        <f t="shared" si="2"/>
        <v>61.11111111</v>
      </c>
      <c r="S5" s="13"/>
      <c r="T5" s="7"/>
      <c r="U5" s="7"/>
      <c r="V5" s="7"/>
      <c r="W5" s="13"/>
      <c r="X5" s="13"/>
      <c r="Y5" s="13"/>
      <c r="Z5" s="13"/>
      <c r="AA5" s="7"/>
    </row>
    <row r="6">
      <c r="A6" s="8" t="s">
        <v>34</v>
      </c>
      <c r="B6" s="9">
        <v>170.0</v>
      </c>
      <c r="C6" s="10">
        <v>50.0</v>
      </c>
      <c r="D6" s="10">
        <v>1350.0</v>
      </c>
      <c r="E6" s="11">
        <f t="shared" si="3"/>
        <v>3.703703704</v>
      </c>
      <c r="F6" s="9">
        <v>67500.0</v>
      </c>
      <c r="G6" s="12">
        <f t="shared" si="1"/>
        <v>50</v>
      </c>
      <c r="H6" s="9">
        <v>67500.0</v>
      </c>
      <c r="I6" s="13">
        <v>105.0</v>
      </c>
      <c r="J6" s="7" t="s">
        <v>35</v>
      </c>
      <c r="K6" s="7" t="s">
        <v>36</v>
      </c>
      <c r="L6" s="7" t="s">
        <v>37</v>
      </c>
      <c r="M6" s="13">
        <v>20000.0</v>
      </c>
      <c r="N6" s="13">
        <v>15000.0</v>
      </c>
      <c r="O6" s="11">
        <f t="shared" si="2"/>
        <v>75</v>
      </c>
      <c r="Q6" s="8" t="s">
        <v>38</v>
      </c>
      <c r="S6" s="13"/>
      <c r="T6" s="7"/>
      <c r="U6" s="7"/>
      <c r="V6" s="7"/>
      <c r="W6" s="13"/>
      <c r="X6" s="13"/>
      <c r="Y6" s="13"/>
      <c r="Z6" s="13"/>
      <c r="AA6" s="7"/>
    </row>
    <row r="7">
      <c r="A7" s="8" t="s">
        <v>39</v>
      </c>
      <c r="B7" s="9">
        <v>155.0</v>
      </c>
      <c r="C7" s="10">
        <v>38.0</v>
      </c>
      <c r="D7" s="10">
        <v>1467.0</v>
      </c>
      <c r="E7" s="11">
        <f t="shared" si="3"/>
        <v>2.590320382</v>
      </c>
      <c r="F7" s="9">
        <v>73350.0</v>
      </c>
      <c r="G7" s="12">
        <f t="shared" si="1"/>
        <v>50</v>
      </c>
      <c r="H7" s="9">
        <v>73350.0</v>
      </c>
      <c r="I7" s="13">
        <v>106.0</v>
      </c>
      <c r="J7" s="7" t="s">
        <v>40</v>
      </c>
      <c r="K7" s="7" t="s">
        <v>18</v>
      </c>
      <c r="L7" s="7" t="s">
        <v>41</v>
      </c>
      <c r="M7" s="13">
        <v>12500.0</v>
      </c>
      <c r="N7" s="13">
        <v>8500.0</v>
      </c>
      <c r="O7" s="11">
        <f t="shared" si="2"/>
        <v>68</v>
      </c>
    </row>
    <row r="8">
      <c r="A8" s="8" t="s">
        <v>42</v>
      </c>
      <c r="B8" s="9">
        <v>165.0</v>
      </c>
      <c r="C8" s="10">
        <v>42.0</v>
      </c>
      <c r="D8" s="10">
        <v>1590.0</v>
      </c>
      <c r="E8" s="11">
        <f t="shared" si="3"/>
        <v>2.641509434</v>
      </c>
      <c r="F8" s="9">
        <v>79500.0</v>
      </c>
      <c r="G8" s="12">
        <f t="shared" si="1"/>
        <v>50</v>
      </c>
      <c r="H8" s="9">
        <v>79500.0</v>
      </c>
      <c r="I8" s="13">
        <v>107.0</v>
      </c>
      <c r="J8" s="7" t="s">
        <v>43</v>
      </c>
      <c r="K8" s="7" t="s">
        <v>23</v>
      </c>
      <c r="L8" s="7" t="s">
        <v>44</v>
      </c>
      <c r="M8" s="13">
        <v>15500.0</v>
      </c>
      <c r="N8" s="13">
        <v>9500.0</v>
      </c>
      <c r="O8" s="11">
        <f t="shared" si="2"/>
        <v>61.29032258</v>
      </c>
      <c r="Q8" s="8" t="s">
        <v>45</v>
      </c>
    </row>
    <row r="9">
      <c r="A9" s="8" t="s">
        <v>46</v>
      </c>
      <c r="B9" s="9">
        <v>180.0</v>
      </c>
      <c r="C9" s="10">
        <v>55.0</v>
      </c>
      <c r="D9" s="10">
        <v>1715.0</v>
      </c>
      <c r="E9" s="11">
        <f t="shared" si="3"/>
        <v>3.206997085</v>
      </c>
      <c r="F9" s="9">
        <v>85750.0</v>
      </c>
      <c r="G9" s="12">
        <f t="shared" si="1"/>
        <v>50</v>
      </c>
      <c r="H9" s="9">
        <v>85750.0</v>
      </c>
      <c r="I9" s="13">
        <v>108.0</v>
      </c>
      <c r="J9" s="7" t="s">
        <v>47</v>
      </c>
      <c r="K9" s="7" t="s">
        <v>27</v>
      </c>
      <c r="L9" s="7" t="s">
        <v>48</v>
      </c>
      <c r="M9" s="13">
        <v>9500.0</v>
      </c>
      <c r="N9" s="13">
        <v>6200.0</v>
      </c>
      <c r="O9" s="11">
        <f t="shared" si="2"/>
        <v>65.26315789</v>
      </c>
    </row>
    <row r="10">
      <c r="A10" s="8" t="s">
        <v>49</v>
      </c>
      <c r="B10" s="9">
        <v>175.0</v>
      </c>
      <c r="C10" s="10">
        <v>48.0</v>
      </c>
      <c r="D10" s="10">
        <v>1842.0</v>
      </c>
      <c r="E10" s="11">
        <f t="shared" si="3"/>
        <v>2.605863192</v>
      </c>
      <c r="F10" s="9">
        <v>92100.0</v>
      </c>
      <c r="G10" s="12">
        <f t="shared" si="1"/>
        <v>50</v>
      </c>
      <c r="H10" s="9">
        <v>92100.0</v>
      </c>
      <c r="I10" s="13">
        <v>109.0</v>
      </c>
      <c r="J10" s="7" t="s">
        <v>50</v>
      </c>
      <c r="K10" s="7" t="s">
        <v>32</v>
      </c>
      <c r="L10" s="7" t="s">
        <v>51</v>
      </c>
      <c r="M10" s="13">
        <v>18500.0</v>
      </c>
      <c r="N10" s="13">
        <v>11200.0</v>
      </c>
      <c r="O10" s="11">
        <f t="shared" si="2"/>
        <v>60.54054054</v>
      </c>
    </row>
    <row r="11">
      <c r="A11" s="8" t="s">
        <v>52</v>
      </c>
      <c r="B11" s="9">
        <v>190.0</v>
      </c>
      <c r="C11" s="10">
        <v>52.0</v>
      </c>
      <c r="D11" s="10">
        <v>1980.0</v>
      </c>
      <c r="E11" s="11">
        <f t="shared" si="3"/>
        <v>2.626262626</v>
      </c>
      <c r="F11" s="9">
        <v>99000.0</v>
      </c>
      <c r="G11" s="12">
        <f t="shared" si="1"/>
        <v>50</v>
      </c>
      <c r="H11" s="9">
        <v>99000.0</v>
      </c>
      <c r="I11" s="13">
        <v>110.0</v>
      </c>
      <c r="J11" s="7" t="s">
        <v>53</v>
      </c>
      <c r="K11" s="7" t="s">
        <v>36</v>
      </c>
      <c r="L11" s="7" t="s">
        <v>54</v>
      </c>
      <c r="M11" s="13">
        <v>21000.0</v>
      </c>
      <c r="N11" s="13">
        <v>16000.0</v>
      </c>
      <c r="O11" s="11">
        <f t="shared" si="2"/>
        <v>76.19047619</v>
      </c>
    </row>
    <row r="12">
      <c r="A12" s="8" t="s">
        <v>55</v>
      </c>
      <c r="B12" s="9">
        <v>200.0</v>
      </c>
      <c r="C12" s="10">
        <v>60.0</v>
      </c>
      <c r="D12" s="10">
        <v>2120.0</v>
      </c>
      <c r="E12" s="11">
        <f t="shared" si="3"/>
        <v>2.830188679</v>
      </c>
      <c r="F12" s="9">
        <v>106000.0</v>
      </c>
      <c r="G12" s="12">
        <f t="shared" si="1"/>
        <v>50</v>
      </c>
      <c r="H12" s="9">
        <v>106000.0</v>
      </c>
      <c r="I12" s="13">
        <v>111.0</v>
      </c>
      <c r="J12" s="7" t="s">
        <v>56</v>
      </c>
      <c r="K12" s="7" t="s">
        <v>18</v>
      </c>
      <c r="L12" s="7" t="s">
        <v>57</v>
      </c>
      <c r="M12" s="13">
        <v>13000.0</v>
      </c>
      <c r="N12" s="13">
        <v>8700.0</v>
      </c>
      <c r="O12" s="11">
        <f t="shared" si="2"/>
        <v>66.92307692</v>
      </c>
    </row>
    <row r="13">
      <c r="A13" s="8" t="s">
        <v>58</v>
      </c>
      <c r="B13" s="9">
        <v>210.0</v>
      </c>
      <c r="C13" s="10">
        <v>65.0</v>
      </c>
      <c r="D13" s="10">
        <v>2265.0</v>
      </c>
      <c r="E13" s="11">
        <f t="shared" si="3"/>
        <v>2.869757174</v>
      </c>
      <c r="F13" s="9">
        <v>113250.0</v>
      </c>
      <c r="G13" s="12">
        <f t="shared" si="1"/>
        <v>50</v>
      </c>
      <c r="H13" s="9">
        <v>113250.0</v>
      </c>
      <c r="I13" s="13">
        <v>112.0</v>
      </c>
      <c r="J13" s="7" t="s">
        <v>59</v>
      </c>
      <c r="K13" s="7" t="s">
        <v>23</v>
      </c>
      <c r="L13" s="7" t="s">
        <v>60</v>
      </c>
      <c r="M13" s="13">
        <v>16000.0</v>
      </c>
      <c r="N13" s="13">
        <v>9800.0</v>
      </c>
      <c r="O13" s="11">
        <f t="shared" si="2"/>
        <v>61.25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CD66DBD-879D-4B7D-A4F2-B250EDBA8DE0}" filter="1" showAutoFilter="1">
      <autoFilter ref="$A$1:$H$13"/>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5" max="5" width="35.71"/>
  </cols>
  <sheetData>
    <row r="1" ht="36.75" customHeight="1">
      <c r="A1" s="15" t="s">
        <v>61</v>
      </c>
      <c r="B1" s="16"/>
      <c r="C1" s="16"/>
      <c r="D1" s="16"/>
      <c r="E1" s="16"/>
      <c r="F1" s="16"/>
      <c r="G1" s="16"/>
      <c r="H1" s="16"/>
      <c r="I1" s="16"/>
      <c r="J1" s="16"/>
      <c r="K1" s="16"/>
      <c r="L1" s="16"/>
      <c r="M1" s="17"/>
    </row>
    <row r="2">
      <c r="H2" s="18"/>
    </row>
    <row r="3">
      <c r="H3" s="18"/>
    </row>
    <row r="4">
      <c r="H4" s="18"/>
    </row>
    <row r="6">
      <c r="F6" s="19"/>
    </row>
  </sheetData>
  <mergeCells count="1">
    <mergeCell ref="A1:M1"/>
  </mergeCells>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0.86"/>
  </cols>
  <sheetData>
    <row r="1"/>
    <row r="2"/>
    <row r="3"/>
    <row r="4"/>
    <row r="5"/>
    <row r="6"/>
    <row r="7"/>
    <row r="8"/>
    <row r="9"/>
    <row r="10"/>
    <row r="11"/>
    <row r="12"/>
    <row r="13"/>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9.29"/>
  </cols>
  <sheetData>
    <row r="1"/>
    <row r="2"/>
    <row r="3"/>
    <row r="4"/>
    <row r="5"/>
    <row r="6"/>
    <row r="7"/>
    <row r="8"/>
    <row r="9"/>
    <row r="10"/>
    <row r="11"/>
    <row r="12"/>
    <row r="13"/>
    <row r="14"/>
  </sheetData>
  <drawing r:id="rId2"/>
</worksheet>
</file>